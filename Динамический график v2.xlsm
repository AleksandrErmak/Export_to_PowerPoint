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тесты\Графики\"/>
    </mc:Choice>
  </mc:AlternateContent>
  <bookViews>
    <workbookView xWindow="0" yWindow="0" windowWidth="20760" windowHeight="11190" activeTab="2"/>
  </bookViews>
  <sheets>
    <sheet name="Export" sheetId="2" r:id="rId1"/>
    <sheet name="Лист1" sheetId="1" r:id="rId2"/>
    <sheet name="Лист2" sheetId="3" r:id="rId3"/>
  </sheets>
  <definedNames>
    <definedName name="Диаграмма">Лист1!$A$16:$H$33</definedName>
    <definedName name="Подпись" localSheetId="1">OFFSET(Лист1!$B$1,,MATCH(Лист1!$K$18,Лист1!$B$1:$Y$1,0)-1,1,MATCH(Лист1!$K$19,Лист1!$B$1:$Y$1,0)-MATCH(Лист1!$K$18,Лист1!$B$1:$Y$1,0)+1)</definedName>
    <definedName name="Ячейка" localSheetId="1">OFFSET(Лист1!$B$1,MATCH(Лист1!$K$17,Лист1!$A$2:$A$14,0),MATCH(Лист1!$K$18,Лист1!$B$1:$Y$1,0)-1,1,MATCH(Лист1!$K$19,Лист1!$B$1:$Y$1,0)-MATCH(Лист1!$K$18,Лист1!$B$1:$Y$1,0)+1)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1" l="1"/>
  <c r="K30" i="1"/>
  <c r="L21" i="1" l="1"/>
  <c r="J16" i="1" l="1"/>
  <c r="I30" i="1" s="1"/>
  <c r="K21" i="1"/>
</calcChain>
</file>

<file path=xl/sharedStrings.xml><?xml version="1.0" encoding="utf-8"?>
<sst xmlns="http://schemas.openxmlformats.org/spreadsheetml/2006/main" count="60" uniqueCount="29">
  <si>
    <t>Ячейка</t>
  </si>
  <si>
    <t>Начало</t>
  </si>
  <si>
    <t>Конец</t>
  </si>
  <si>
    <t>Формула</t>
  </si>
  <si>
    <t>Столбец1</t>
  </si>
  <si>
    <t>Столбец2</t>
  </si>
  <si>
    <t>Object</t>
  </si>
  <si>
    <t>Slide</t>
  </si>
  <si>
    <t>Top</t>
  </si>
  <si>
    <t>Width</t>
  </si>
  <si>
    <t>Left</t>
  </si>
  <si>
    <t>Height</t>
  </si>
  <si>
    <t>Slaid_Title</t>
  </si>
  <si>
    <t>True</t>
  </si>
  <si>
    <t>False</t>
  </si>
  <si>
    <t>No_Linked</t>
  </si>
  <si>
    <t>Данные с</t>
  </si>
  <si>
    <t>по</t>
  </si>
  <si>
    <t>Столбец3</t>
  </si>
  <si>
    <t>Столбец4</t>
  </si>
  <si>
    <t>Столбец5</t>
  </si>
  <si>
    <t>Chart 5-Лист1-ChartObject</t>
  </si>
  <si>
    <t>Таблица3-Лист1-ListObject</t>
  </si>
  <si>
    <t>Dyn_Data</t>
  </si>
  <si>
    <t>Change_param</t>
  </si>
  <si>
    <t>5</t>
  </si>
  <si>
    <t>7</t>
  </si>
  <si>
    <t>10</t>
  </si>
  <si>
    <t>TextBox 3-Лист2-Shape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</si>
</sst>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0" fillId="2" borderId="1" xfId="0" applyFont="1" applyFill="1" applyBorder="1"/>
    <xf numFmtId="0" fontId="0" fillId="0" borderId="1" xfId="0" applyFont="1" applyBorder="1"/>
    <xf numFmtId="0" fontId="0" fillId="3" borderId="0" xfId="0" applyFill="1"/>
    <xf numFmtId="49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Лист1!$J$16</c:f>
              <c:strCache>
                <c:ptCount val="1"/>
                <c:pt idx="0">
                  <c:v>Ячейка 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Лист1!Подпись</c:f>
              <c:numCache>
                <c:formatCode>m/d/yyyy</c:formatCode>
                <c:ptCount val="10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</c:numCache>
            </c:numRef>
          </c:cat>
          <c:val>
            <c:numRef>
              <c:f>Лист1!Ячейка</c:f>
              <c:numCache>
                <c:formatCode>General</c:formatCode>
                <c:ptCount val="10"/>
                <c:pt idx="0">
                  <c:v>152.5</c:v>
                </c:pt>
                <c:pt idx="1">
                  <c:v>128</c:v>
                </c:pt>
                <c:pt idx="2">
                  <c:v>103.5</c:v>
                </c:pt>
                <c:pt idx="3">
                  <c:v>79</c:v>
                </c:pt>
                <c:pt idx="4">
                  <c:v>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E5-4603-9474-285D3EF83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894920"/>
        <c:axId val="414897544"/>
      </c:barChart>
      <c:dateAx>
        <c:axId val="414894920"/>
        <c:scaling>
          <c:orientation val="minMax"/>
          <c:max val="45200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4897544"/>
        <c:crosses val="autoZero"/>
        <c:auto val="1"/>
        <c:lblOffset val="100"/>
        <c:baseTimeUnit val="months"/>
      </c:dateAx>
      <c:valAx>
        <c:axId val="41489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489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01.01.2023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Лист1!$B$2:$B$13</c:f>
              <c:numCache>
                <c:formatCode>General</c:formatCode>
                <c:ptCount val="12"/>
                <c:pt idx="0">
                  <c:v>100</c:v>
                </c:pt>
                <c:pt idx="1">
                  <c:v>10</c:v>
                </c:pt>
                <c:pt idx="2">
                  <c:v>50</c:v>
                </c:pt>
                <c:pt idx="3">
                  <c:v>1</c:v>
                </c:pt>
                <c:pt idx="4">
                  <c:v>24</c:v>
                </c:pt>
                <c:pt idx="5">
                  <c:v>49.7</c:v>
                </c:pt>
                <c:pt idx="6">
                  <c:v>75.400000000000006</c:v>
                </c:pt>
                <c:pt idx="7">
                  <c:v>101.1</c:v>
                </c:pt>
                <c:pt idx="8">
                  <c:v>126.8</c:v>
                </c:pt>
                <c:pt idx="9">
                  <c:v>152.5</c:v>
                </c:pt>
                <c:pt idx="10">
                  <c:v>178.2</c:v>
                </c:pt>
                <c:pt idx="11">
                  <c:v>203.9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55-42AD-85B1-2EF4C520C57E}"/>
            </c:ext>
          </c:extLst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01.02.2023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Лист1!$C$2:$C$13</c:f>
              <c:numCache>
                <c:formatCode>General</c:formatCode>
                <c:ptCount val="12"/>
                <c:pt idx="0">
                  <c:v>105</c:v>
                </c:pt>
                <c:pt idx="1">
                  <c:v>11</c:v>
                </c:pt>
                <c:pt idx="2">
                  <c:v>80</c:v>
                </c:pt>
                <c:pt idx="3">
                  <c:v>3</c:v>
                </c:pt>
                <c:pt idx="4">
                  <c:v>9.5</c:v>
                </c:pt>
                <c:pt idx="5">
                  <c:v>33.200000000000003</c:v>
                </c:pt>
                <c:pt idx="6">
                  <c:v>56.9</c:v>
                </c:pt>
                <c:pt idx="7">
                  <c:v>80.599999999999994</c:v>
                </c:pt>
                <c:pt idx="8">
                  <c:v>104.3</c:v>
                </c:pt>
                <c:pt idx="9">
                  <c:v>128</c:v>
                </c:pt>
                <c:pt idx="10">
                  <c:v>151.69999999999999</c:v>
                </c:pt>
                <c:pt idx="11">
                  <c:v>175.4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55-42AD-85B1-2EF4C520C57E}"/>
            </c:ext>
          </c:extLst>
        </c:ser>
        <c:ser>
          <c:idx val="2"/>
          <c:order val="2"/>
          <c:tx>
            <c:strRef>
              <c:f>Лист1!$D$1</c:f>
              <c:strCache>
                <c:ptCount val="1"/>
                <c:pt idx="0">
                  <c:v>01.03.2023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Лист1!$D$2:$D$13</c:f>
              <c:numCache>
                <c:formatCode>General</c:formatCode>
                <c:ptCount val="12"/>
                <c:pt idx="0">
                  <c:v>110</c:v>
                </c:pt>
                <c:pt idx="1">
                  <c:v>12</c:v>
                </c:pt>
                <c:pt idx="2">
                  <c:v>110</c:v>
                </c:pt>
                <c:pt idx="3">
                  <c:v>5</c:v>
                </c:pt>
                <c:pt idx="4">
                  <c:v>5</c:v>
                </c:pt>
                <c:pt idx="5">
                  <c:v>16.7</c:v>
                </c:pt>
                <c:pt idx="6">
                  <c:v>38.4</c:v>
                </c:pt>
                <c:pt idx="7">
                  <c:v>60.1</c:v>
                </c:pt>
                <c:pt idx="8">
                  <c:v>81.8</c:v>
                </c:pt>
                <c:pt idx="9">
                  <c:v>103.5</c:v>
                </c:pt>
                <c:pt idx="10">
                  <c:v>125.2</c:v>
                </c:pt>
                <c:pt idx="11">
                  <c:v>146.9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55-42AD-85B1-2EF4C520C57E}"/>
            </c:ext>
          </c:extLst>
        </c:ser>
        <c:ser>
          <c:idx val="3"/>
          <c:order val="3"/>
          <c:tx>
            <c:strRef>
              <c:f>Лист1!$E$1</c:f>
              <c:strCache>
                <c:ptCount val="1"/>
                <c:pt idx="0">
                  <c:v>01.04.2023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Лист1!$E$2:$E$13</c:f>
              <c:numCache>
                <c:formatCode>General</c:formatCode>
                <c:ptCount val="12"/>
                <c:pt idx="0">
                  <c:v>115</c:v>
                </c:pt>
                <c:pt idx="1">
                  <c:v>13</c:v>
                </c:pt>
                <c:pt idx="2">
                  <c:v>140</c:v>
                </c:pt>
                <c:pt idx="3">
                  <c:v>7</c:v>
                </c:pt>
                <c:pt idx="4">
                  <c:v>19.5</c:v>
                </c:pt>
                <c:pt idx="5">
                  <c:v>0.20000000000000301</c:v>
                </c:pt>
                <c:pt idx="6">
                  <c:v>19.899999999999999</c:v>
                </c:pt>
                <c:pt idx="7">
                  <c:v>39.6</c:v>
                </c:pt>
                <c:pt idx="8">
                  <c:v>59.3</c:v>
                </c:pt>
                <c:pt idx="9">
                  <c:v>79</c:v>
                </c:pt>
                <c:pt idx="10">
                  <c:v>98.7</c:v>
                </c:pt>
                <c:pt idx="11">
                  <c:v>118.4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55-42AD-85B1-2EF4C520C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840728"/>
        <c:axId val="290841384"/>
      </c:scatterChart>
      <c:valAx>
        <c:axId val="290840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841384"/>
        <c:crosses val="autoZero"/>
        <c:crossBetween val="midCat"/>
      </c:valAx>
      <c:valAx>
        <c:axId val="29084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84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01.01.2023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Лист1!$B$2:$B$13</c:f>
              <c:numCache>
                <c:formatCode>General</c:formatCode>
                <c:ptCount val="12"/>
                <c:pt idx="0">
                  <c:v>100</c:v>
                </c:pt>
                <c:pt idx="1">
                  <c:v>10</c:v>
                </c:pt>
                <c:pt idx="2">
                  <c:v>50</c:v>
                </c:pt>
                <c:pt idx="3">
                  <c:v>1</c:v>
                </c:pt>
                <c:pt idx="4">
                  <c:v>24</c:v>
                </c:pt>
                <c:pt idx="5">
                  <c:v>49.7</c:v>
                </c:pt>
                <c:pt idx="6">
                  <c:v>75.400000000000006</c:v>
                </c:pt>
                <c:pt idx="7">
                  <c:v>101.1</c:v>
                </c:pt>
                <c:pt idx="8">
                  <c:v>126.8</c:v>
                </c:pt>
                <c:pt idx="9">
                  <c:v>152.5</c:v>
                </c:pt>
                <c:pt idx="10">
                  <c:v>178.2</c:v>
                </c:pt>
                <c:pt idx="11">
                  <c:v>203.9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2F-4E5C-8A00-EA69DEA7AD71}"/>
            </c:ext>
          </c:extLst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01.02.2023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Лист1!$C$2:$C$13</c:f>
              <c:numCache>
                <c:formatCode>General</c:formatCode>
                <c:ptCount val="12"/>
                <c:pt idx="0">
                  <c:v>105</c:v>
                </c:pt>
                <c:pt idx="1">
                  <c:v>11</c:v>
                </c:pt>
                <c:pt idx="2">
                  <c:v>80</c:v>
                </c:pt>
                <c:pt idx="3">
                  <c:v>3</c:v>
                </c:pt>
                <c:pt idx="4">
                  <c:v>9.5</c:v>
                </c:pt>
                <c:pt idx="5">
                  <c:v>33.200000000000003</c:v>
                </c:pt>
                <c:pt idx="6">
                  <c:v>56.9</c:v>
                </c:pt>
                <c:pt idx="7">
                  <c:v>80.599999999999994</c:v>
                </c:pt>
                <c:pt idx="8">
                  <c:v>104.3</c:v>
                </c:pt>
                <c:pt idx="9">
                  <c:v>128</c:v>
                </c:pt>
                <c:pt idx="10">
                  <c:v>151.69999999999999</c:v>
                </c:pt>
                <c:pt idx="11">
                  <c:v>175.4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2F-4E5C-8A00-EA69DEA7AD71}"/>
            </c:ext>
          </c:extLst>
        </c:ser>
        <c:ser>
          <c:idx val="2"/>
          <c:order val="2"/>
          <c:tx>
            <c:strRef>
              <c:f>Лист1!$D$1</c:f>
              <c:strCache>
                <c:ptCount val="1"/>
                <c:pt idx="0">
                  <c:v>01.03.2023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Лист1!$D$2:$D$13</c:f>
              <c:numCache>
                <c:formatCode>General</c:formatCode>
                <c:ptCount val="12"/>
                <c:pt idx="0">
                  <c:v>110</c:v>
                </c:pt>
                <c:pt idx="1">
                  <c:v>12</c:v>
                </c:pt>
                <c:pt idx="2">
                  <c:v>110</c:v>
                </c:pt>
                <c:pt idx="3">
                  <c:v>5</c:v>
                </c:pt>
                <c:pt idx="4">
                  <c:v>5</c:v>
                </c:pt>
                <c:pt idx="5">
                  <c:v>16.7</c:v>
                </c:pt>
                <c:pt idx="6">
                  <c:v>38.4</c:v>
                </c:pt>
                <c:pt idx="7">
                  <c:v>60.1</c:v>
                </c:pt>
                <c:pt idx="8">
                  <c:v>81.8</c:v>
                </c:pt>
                <c:pt idx="9">
                  <c:v>103.5</c:v>
                </c:pt>
                <c:pt idx="10">
                  <c:v>125.2</c:v>
                </c:pt>
                <c:pt idx="11">
                  <c:v>146.9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2F-4E5C-8A00-EA69DEA7AD71}"/>
            </c:ext>
          </c:extLst>
        </c:ser>
        <c:ser>
          <c:idx val="3"/>
          <c:order val="3"/>
          <c:tx>
            <c:strRef>
              <c:f>Лист1!$E$1</c:f>
              <c:strCache>
                <c:ptCount val="1"/>
                <c:pt idx="0">
                  <c:v>01.04.2023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Лист1!$E$2:$E$13</c:f>
              <c:numCache>
                <c:formatCode>General</c:formatCode>
                <c:ptCount val="12"/>
                <c:pt idx="0">
                  <c:v>115</c:v>
                </c:pt>
                <c:pt idx="1">
                  <c:v>13</c:v>
                </c:pt>
                <c:pt idx="2">
                  <c:v>140</c:v>
                </c:pt>
                <c:pt idx="3">
                  <c:v>7</c:v>
                </c:pt>
                <c:pt idx="4">
                  <c:v>19.5</c:v>
                </c:pt>
                <c:pt idx="5">
                  <c:v>0.20000000000000301</c:v>
                </c:pt>
                <c:pt idx="6">
                  <c:v>19.899999999999999</c:v>
                </c:pt>
                <c:pt idx="7">
                  <c:v>39.6</c:v>
                </c:pt>
                <c:pt idx="8">
                  <c:v>59.3</c:v>
                </c:pt>
                <c:pt idx="9">
                  <c:v>79</c:v>
                </c:pt>
                <c:pt idx="10">
                  <c:v>98.7</c:v>
                </c:pt>
                <c:pt idx="11">
                  <c:v>118.4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2F-4E5C-8A00-EA69DEA7A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840728"/>
        <c:axId val="290841384"/>
      </c:scatterChart>
      <c:valAx>
        <c:axId val="290840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841384"/>
        <c:crosses val="autoZero"/>
        <c:crossBetween val="midCat"/>
      </c:valAx>
      <c:valAx>
        <c:axId val="29084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84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171450</xdr:rowOff>
        </xdr:from>
        <xdr:to>
          <xdr:col>3</xdr:col>
          <xdr:colOff>38100</xdr:colOff>
          <xdr:row>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733425</xdr:colOff>
          <xdr:row>4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3</xdr:row>
          <xdr:rowOff>66675</xdr:rowOff>
        </xdr:from>
        <xdr:to>
          <xdr:col>10</xdr:col>
          <xdr:colOff>266700</xdr:colOff>
          <xdr:row>5</xdr:row>
          <xdr:rowOff>38100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81643</xdr:colOff>
      <xdr:row>14</xdr:row>
      <xdr:rowOff>131988</xdr:rowOff>
    </xdr:from>
    <xdr:to>
      <xdr:col>7</xdr:col>
      <xdr:colOff>571500</xdr:colOff>
      <xdr:row>31</xdr:row>
      <xdr:rowOff>99331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22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презентацию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272143</xdr:colOff>
      <xdr:row>13</xdr:row>
      <xdr:rowOff>91167</xdr:rowOff>
    </xdr:from>
    <xdr:to>
      <xdr:col>20</xdr:col>
      <xdr:colOff>81643</xdr:colOff>
      <xdr:row>30</xdr:row>
      <xdr:rowOff>58510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70909</xdr:colOff>
      <xdr:row>4</xdr:row>
      <xdr:rowOff>179917</xdr:rowOff>
    </xdr:from>
    <xdr:to>
      <xdr:col>7</xdr:col>
      <xdr:colOff>375709</xdr:colOff>
      <xdr:row>19</xdr:row>
      <xdr:rowOff>65617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14817</xdr:colOff>
      <xdr:row>5</xdr:row>
      <xdr:rowOff>12700</xdr:rowOff>
    </xdr:from>
    <xdr:ext cx="2694199" cy="1344599"/>
    <xdr:sp macro="" textlink="">
      <xdr:nvSpPr>
        <xdr:cNvPr id="4" name="TextBox 3"/>
        <xdr:cNvSpPr txBox="1"/>
      </xdr:nvSpPr>
      <xdr:spPr>
        <a:xfrm>
          <a:off x="4925484" y="965200"/>
          <a:ext cx="2694199" cy="13445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600" b="0">
              <a:solidFill>
                <a:sysClr val="windowText" lastClr="000000"/>
              </a:solidFill>
            </a:rPr>
            <a:t>Текст  создан автоматически</a:t>
          </a:r>
        </a:p>
        <a:p>
          <a:endParaRPr lang="ru-RU" sz="1600" b="0">
            <a:solidFill>
              <a:sysClr val="windowText" lastClr="000000"/>
            </a:solidFill>
          </a:endParaRPr>
        </a:p>
        <a:p>
          <a:r>
            <a:rPr lang="ru-RU" sz="1600" b="0">
              <a:solidFill>
                <a:sysClr val="windowText" lastClr="000000"/>
              </a:solidFill>
            </a:rPr>
            <a:t>Основные</a:t>
          </a:r>
          <a:r>
            <a:rPr lang="ru-RU" sz="1600" b="0" baseline="0">
              <a:solidFill>
                <a:sysClr val="windowText" lastClr="000000"/>
              </a:solidFill>
            </a:rPr>
            <a:t> пункты:</a:t>
          </a:r>
          <a:endParaRPr lang="ru-RU" sz="1600" b="0">
            <a:solidFill>
              <a:sysClr val="windowText" lastClr="000000"/>
            </a:solidFill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600" b="0">
              <a:solidFill>
                <a:sysClr val="windowText" lastClr="000000"/>
              </a:solidFill>
            </a:rPr>
            <a:t>Пункт</a:t>
          </a:r>
          <a:r>
            <a:rPr lang="ru-RU" sz="1600" b="0" baseline="0">
              <a:solidFill>
                <a:sysClr val="windowText" lastClr="000000"/>
              </a:solidFill>
            </a:rPr>
            <a:t> 1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600" b="0" baseline="0">
              <a:solidFill>
                <a:sysClr val="windowText" lastClr="000000"/>
              </a:solidFill>
            </a:rPr>
            <a:t>Пункт 2</a:t>
          </a:r>
          <a:endParaRPr lang="ru-RU" sz="1600" b="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0</xdr:col>
      <xdr:colOff>142875</xdr:colOff>
      <xdr:row>0</xdr:row>
      <xdr:rowOff>161925</xdr:rowOff>
    </xdr:from>
    <xdr:ext cx="7678208" cy="655885"/>
    <xdr:sp macro="" textlink="">
      <xdr:nvSpPr>
        <xdr:cNvPr id="5" name="TextBox 4"/>
        <xdr:cNvSpPr txBox="1"/>
      </xdr:nvSpPr>
      <xdr:spPr>
        <a:xfrm>
          <a:off x="142875" y="161925"/>
          <a:ext cx="7678208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ru-RU" sz="3600" b="1"/>
            <a:t>Автозаголовок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ExportToPowerPoint" displayName="ExportToPowerPoint" ref="B8:K17" totalsRowShown="0">
  <autoFilter ref="B8:K17"/>
  <tableColumns count="10">
    <tableColumn id="1" name="Object"/>
    <tableColumn id="2" name="Slide"/>
    <tableColumn id="3" name="Top"/>
    <tableColumn id="4" name="Width"/>
    <tableColumn id="5" name="Left"/>
    <tableColumn id="6" name="Height"/>
    <tableColumn id="7" name="No_Linked"/>
    <tableColumn id="8" name="Slaid_Title"/>
    <tableColumn id="9" name="Dyn_Data"/>
    <tableColumn id="10" name="Change_param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I29:M30" totalsRowShown="0">
  <autoFilter ref="I29:M30"/>
  <tableColumns count="5">
    <tableColumn id="1" name="Столбец1" dataDxfId="4">
      <calculatedColumnFormula>J16</calculatedColumnFormula>
    </tableColumn>
    <tableColumn id="2" name="Столбец2" dataDxfId="3"/>
    <tableColumn id="3" name="Столбец3" dataDxfId="2">
      <calculatedColumnFormula>K18</calculatedColumnFormula>
    </tableColumn>
    <tableColumn id="4" name="Столбец4" dataDxfId="1"/>
    <tableColumn id="5" name="Столбец5" dataDxfId="0">
      <calculatedColumnFormula>K19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2:K17"/>
  <sheetViews>
    <sheetView workbookViewId="0">
      <selection activeCell="E6" sqref="E6"/>
    </sheetView>
  </sheetViews>
  <sheetFormatPr defaultRowHeight="15" x14ac:dyDescent="0.25"/>
  <cols>
    <col min="2" max="2" width="37.85546875" customWidth="1"/>
    <col min="8" max="8" width="12.5703125" customWidth="1"/>
    <col min="9" max="9" width="12.42578125" customWidth="1"/>
    <col min="10" max="11" width="11.85546875" customWidth="1"/>
  </cols>
  <sheetData>
    <row r="2" spans="2:11" x14ac:dyDescent="0.25">
      <c r="J2" s="3" t="s">
        <v>13</v>
      </c>
    </row>
    <row r="3" spans="2:11" x14ac:dyDescent="0.25">
      <c r="J3" s="4" t="s">
        <v>14</v>
      </c>
    </row>
    <row r="8" spans="2:11" x14ac:dyDescent="0.25">
      <c r="B8" t="s">
        <v>6</v>
      </c>
      <c r="C8" t="s">
        <v>7</v>
      </c>
      <c r="D8" t="s">
        <v>8</v>
      </c>
      <c r="E8" t="s">
        <v>9</v>
      </c>
      <c r="F8" t="s">
        <v>10</v>
      </c>
      <c r="G8" t="s">
        <v>11</v>
      </c>
      <c r="H8" t="s">
        <v>15</v>
      </c>
      <c r="I8" t="s">
        <v>12</v>
      </c>
      <c r="J8" t="s">
        <v>23</v>
      </c>
      <c r="K8" t="s">
        <v>24</v>
      </c>
    </row>
    <row r="9" spans="2:11" x14ac:dyDescent="0.25">
      <c r="B9" t="s">
        <v>21</v>
      </c>
      <c r="C9">
        <v>1</v>
      </c>
      <c r="D9">
        <v>50</v>
      </c>
      <c r="E9">
        <v>300</v>
      </c>
      <c r="F9">
        <v>50</v>
      </c>
      <c r="G9">
        <v>200</v>
      </c>
      <c r="H9" t="s">
        <v>14</v>
      </c>
      <c r="J9" t="s">
        <v>13</v>
      </c>
      <c r="K9" s="6" t="s">
        <v>25</v>
      </c>
    </row>
    <row r="10" spans="2:11" x14ac:dyDescent="0.25">
      <c r="B10" t="s">
        <v>22</v>
      </c>
      <c r="C10">
        <v>1</v>
      </c>
      <c r="D10">
        <v>50</v>
      </c>
      <c r="E10">
        <v>300</v>
      </c>
      <c r="F10">
        <v>400</v>
      </c>
      <c r="G10">
        <v>100</v>
      </c>
      <c r="H10" t="s">
        <v>14</v>
      </c>
      <c r="J10" t="s">
        <v>13</v>
      </c>
      <c r="K10" s="6" t="s">
        <v>25</v>
      </c>
    </row>
    <row r="11" spans="2:11" x14ac:dyDescent="0.25">
      <c r="B11" t="s">
        <v>28</v>
      </c>
      <c r="C11">
        <v>1</v>
      </c>
      <c r="D11">
        <v>300</v>
      </c>
      <c r="E11">
        <v>700</v>
      </c>
      <c r="F11">
        <v>50</v>
      </c>
      <c r="G11">
        <v>200</v>
      </c>
      <c r="H11" t="s">
        <v>14</v>
      </c>
      <c r="J11" t="s">
        <v>13</v>
      </c>
      <c r="K11" s="6" t="s">
        <v>25</v>
      </c>
    </row>
    <row r="12" spans="2:11" x14ac:dyDescent="0.25">
      <c r="B12" t="s">
        <v>21</v>
      </c>
      <c r="C12">
        <v>2</v>
      </c>
      <c r="D12">
        <v>50</v>
      </c>
      <c r="E12">
        <v>300</v>
      </c>
      <c r="F12">
        <v>50</v>
      </c>
      <c r="G12">
        <v>200</v>
      </c>
      <c r="H12" t="s">
        <v>14</v>
      </c>
      <c r="J12" t="s">
        <v>13</v>
      </c>
      <c r="K12" s="6" t="s">
        <v>26</v>
      </c>
    </row>
    <row r="13" spans="2:11" x14ac:dyDescent="0.25">
      <c r="B13" t="s">
        <v>22</v>
      </c>
      <c r="C13">
        <v>2</v>
      </c>
      <c r="D13">
        <v>50</v>
      </c>
      <c r="E13">
        <v>300</v>
      </c>
      <c r="F13">
        <v>400</v>
      </c>
      <c r="G13">
        <v>100</v>
      </c>
      <c r="H13" t="s">
        <v>14</v>
      </c>
      <c r="J13" t="s">
        <v>13</v>
      </c>
      <c r="K13" s="6" t="s">
        <v>26</v>
      </c>
    </row>
    <row r="14" spans="2:11" x14ac:dyDescent="0.25">
      <c r="B14" t="s">
        <v>28</v>
      </c>
      <c r="C14">
        <v>2</v>
      </c>
      <c r="D14">
        <v>300</v>
      </c>
      <c r="E14">
        <v>700</v>
      </c>
      <c r="F14">
        <v>50</v>
      </c>
      <c r="G14">
        <v>200</v>
      </c>
      <c r="H14" t="s">
        <v>14</v>
      </c>
      <c r="J14" t="s">
        <v>13</v>
      </c>
      <c r="K14" s="6" t="s">
        <v>26</v>
      </c>
    </row>
    <row r="15" spans="2:11" x14ac:dyDescent="0.25">
      <c r="B15" t="s">
        <v>21</v>
      </c>
      <c r="C15">
        <v>3</v>
      </c>
      <c r="D15">
        <v>50</v>
      </c>
      <c r="E15">
        <v>300</v>
      </c>
      <c r="F15">
        <v>50</v>
      </c>
      <c r="G15">
        <v>200</v>
      </c>
      <c r="H15" t="s">
        <v>14</v>
      </c>
      <c r="J15" t="s">
        <v>13</v>
      </c>
      <c r="K15" s="6" t="s">
        <v>27</v>
      </c>
    </row>
    <row r="16" spans="2:11" x14ac:dyDescent="0.25">
      <c r="B16" t="s">
        <v>22</v>
      </c>
      <c r="C16">
        <v>3</v>
      </c>
      <c r="D16">
        <v>50</v>
      </c>
      <c r="E16">
        <v>300</v>
      </c>
      <c r="F16">
        <v>400</v>
      </c>
      <c r="G16">
        <v>100</v>
      </c>
      <c r="H16" t="s">
        <v>14</v>
      </c>
      <c r="J16" t="s">
        <v>13</v>
      </c>
      <c r="K16" s="6" t="s">
        <v>27</v>
      </c>
    </row>
    <row r="17" spans="2:11" x14ac:dyDescent="0.25">
      <c r="B17" t="s">
        <v>28</v>
      </c>
      <c r="C17">
        <v>3</v>
      </c>
      <c r="D17">
        <v>300</v>
      </c>
      <c r="E17">
        <v>700</v>
      </c>
      <c r="F17">
        <v>50</v>
      </c>
      <c r="G17">
        <v>200</v>
      </c>
      <c r="H17" t="s">
        <v>14</v>
      </c>
      <c r="J17" t="s">
        <v>13</v>
      </c>
      <c r="K17" s="6" t="s">
        <v>27</v>
      </c>
    </row>
  </sheetData>
  <dataValidations count="2">
    <dataValidation type="list" allowBlank="1" showInputMessage="1" showErrorMessage="1" sqref="H9:H17 J9:J17">
      <formula1>$J$2:$J$3</formula1>
    </dataValidation>
    <dataValidation type="list" allowBlank="1" showInputMessage="1" showErrorMessage="1" sqref="B9:B17">
      <formula1>",ExportToPowerPoint-Export-ListObject,Chart 5-Лист1-ChartObject,Chart 1-Лист1-ChartObject,Таблица3-Лист1-ListObject,Chart 2-Лист2-ChartObject,TextBox 3-Лист2-Shape,TextBox 4-Лист2-Shape"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3.UpdateDropdownColumn">
                <anchor moveWithCells="1" sizeWithCells="1">
                  <from>
                    <xdr:col>1</xdr:col>
                    <xdr:colOff>0</xdr:colOff>
                    <xdr:row>2</xdr:row>
                    <xdr:rowOff>171450</xdr:rowOff>
                  </from>
                  <to>
                    <xdr:col>3</xdr:col>
                    <xdr:colOff>38100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Module3.ExportTable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733425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6" name="Button 22">
              <controlPr defaultSize="0" print="0" autoFill="0" autoPict="0" macro="[0]!Module4.ExportTable">
                <anchor moveWithCells="1" sizeWithCells="1">
                  <from>
                    <xdr:col>8</xdr:col>
                    <xdr:colOff>152400</xdr:colOff>
                    <xdr:row>3</xdr:row>
                    <xdr:rowOff>66675</xdr:rowOff>
                  </from>
                  <to>
                    <xdr:col>10</xdr:col>
                    <xdr:colOff>266700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Y30"/>
  <sheetViews>
    <sheetView zoomScale="70" zoomScaleNormal="70" workbookViewId="0">
      <selection activeCell="K17" sqref="K17"/>
    </sheetView>
  </sheetViews>
  <sheetFormatPr defaultRowHeight="12.75" x14ac:dyDescent="0.2"/>
  <cols>
    <col min="1" max="1" width="9.140625" style="1"/>
    <col min="2" max="8" width="10.140625" style="1" bestFit="1" customWidth="1"/>
    <col min="9" max="13" width="11.28515625" style="1" customWidth="1"/>
    <col min="14" max="25" width="10.140625" style="1" bestFit="1" customWidth="1"/>
    <col min="26" max="16384" width="9.140625" style="1"/>
  </cols>
  <sheetData>
    <row r="1" spans="1:25" x14ac:dyDescent="0.2">
      <c r="A1" s="1" t="s">
        <v>0</v>
      </c>
      <c r="B1" s="2">
        <v>44927</v>
      </c>
      <c r="C1" s="2">
        <v>44958</v>
      </c>
      <c r="D1" s="2">
        <v>44986</v>
      </c>
      <c r="E1" s="2">
        <v>45017</v>
      </c>
      <c r="F1" s="2">
        <v>45047</v>
      </c>
      <c r="G1" s="2">
        <v>45078</v>
      </c>
      <c r="H1" s="2">
        <v>45108</v>
      </c>
      <c r="I1" s="2">
        <v>45139</v>
      </c>
      <c r="J1" s="2">
        <v>45170</v>
      </c>
      <c r="K1" s="2">
        <v>45200</v>
      </c>
      <c r="L1" s="2">
        <v>45231</v>
      </c>
      <c r="M1" s="2">
        <v>45261</v>
      </c>
      <c r="N1" s="2">
        <v>45292</v>
      </c>
      <c r="O1" s="2">
        <v>45323</v>
      </c>
      <c r="P1" s="2">
        <v>45352</v>
      </c>
      <c r="Q1" s="2">
        <v>45383</v>
      </c>
      <c r="R1" s="2">
        <v>45413</v>
      </c>
      <c r="S1" s="2">
        <v>45444</v>
      </c>
      <c r="T1" s="2">
        <v>45474</v>
      </c>
      <c r="U1" s="2">
        <v>45505</v>
      </c>
      <c r="V1" s="2">
        <v>45536</v>
      </c>
      <c r="W1" s="2">
        <v>45566</v>
      </c>
      <c r="X1" s="2">
        <v>45597</v>
      </c>
      <c r="Y1" s="2">
        <v>45627</v>
      </c>
    </row>
    <row r="2" spans="1:25" x14ac:dyDescent="0.2">
      <c r="A2" s="1">
        <v>1</v>
      </c>
      <c r="B2" s="1">
        <v>100</v>
      </c>
      <c r="C2" s="1">
        <v>105</v>
      </c>
      <c r="D2" s="1">
        <v>110</v>
      </c>
      <c r="E2" s="1">
        <v>115</v>
      </c>
      <c r="F2" s="1">
        <v>120</v>
      </c>
    </row>
    <row r="3" spans="1:25" x14ac:dyDescent="0.2">
      <c r="A3" s="1">
        <v>2</v>
      </c>
      <c r="B3" s="1">
        <v>10</v>
      </c>
      <c r="C3" s="1">
        <v>11</v>
      </c>
      <c r="D3" s="1">
        <v>12</v>
      </c>
      <c r="E3" s="1">
        <v>13</v>
      </c>
      <c r="F3" s="1">
        <v>14</v>
      </c>
    </row>
    <row r="4" spans="1:25" x14ac:dyDescent="0.2">
      <c r="A4" s="1">
        <v>3</v>
      </c>
      <c r="B4" s="1">
        <v>50</v>
      </c>
      <c r="C4" s="1">
        <v>80</v>
      </c>
      <c r="D4" s="1">
        <v>110</v>
      </c>
      <c r="E4" s="1">
        <v>140</v>
      </c>
      <c r="F4" s="1">
        <v>170</v>
      </c>
    </row>
    <row r="5" spans="1:25" x14ac:dyDescent="0.2">
      <c r="A5" s="1">
        <v>4</v>
      </c>
      <c r="B5" s="1">
        <v>1</v>
      </c>
      <c r="C5" s="1">
        <v>3</v>
      </c>
      <c r="D5" s="1">
        <v>5</v>
      </c>
      <c r="E5" s="1">
        <v>7</v>
      </c>
      <c r="F5" s="1">
        <v>9</v>
      </c>
    </row>
    <row r="6" spans="1:25" x14ac:dyDescent="0.2">
      <c r="A6" s="1">
        <v>5</v>
      </c>
      <c r="B6" s="1">
        <v>24</v>
      </c>
      <c r="C6" s="1">
        <v>9.5</v>
      </c>
      <c r="D6" s="1">
        <v>5</v>
      </c>
      <c r="E6" s="1">
        <v>19.5</v>
      </c>
      <c r="F6" s="1">
        <v>34</v>
      </c>
    </row>
    <row r="7" spans="1:25" x14ac:dyDescent="0.2">
      <c r="A7" s="1">
        <v>6</v>
      </c>
      <c r="B7" s="1">
        <v>49.7</v>
      </c>
      <c r="C7" s="1">
        <v>33.200000000000003</v>
      </c>
      <c r="D7" s="1">
        <v>16.7</v>
      </c>
      <c r="E7" s="1">
        <v>0.20000000000000301</v>
      </c>
      <c r="F7" s="1">
        <v>16.3</v>
      </c>
    </row>
    <row r="8" spans="1:25" x14ac:dyDescent="0.2">
      <c r="A8" s="1">
        <v>7</v>
      </c>
      <c r="B8" s="1">
        <v>75.400000000000006</v>
      </c>
      <c r="C8" s="1">
        <v>56.9</v>
      </c>
      <c r="D8" s="1">
        <v>38.4</v>
      </c>
      <c r="E8" s="1">
        <v>19.899999999999999</v>
      </c>
      <c r="F8" s="1">
        <v>1.4000000000000099</v>
      </c>
    </row>
    <row r="9" spans="1:25" x14ac:dyDescent="0.2">
      <c r="A9" s="1">
        <v>8</v>
      </c>
      <c r="B9" s="1">
        <v>101.1</v>
      </c>
      <c r="C9" s="1">
        <v>80.599999999999994</v>
      </c>
      <c r="D9" s="1">
        <v>60.1</v>
      </c>
      <c r="E9" s="1">
        <v>39.6</v>
      </c>
      <c r="F9" s="1">
        <v>19.100000000000001</v>
      </c>
    </row>
    <row r="10" spans="1:25" x14ac:dyDescent="0.2">
      <c r="A10" s="1">
        <v>9</v>
      </c>
      <c r="B10" s="1">
        <v>126.8</v>
      </c>
      <c r="C10" s="1">
        <v>104.3</v>
      </c>
      <c r="D10" s="1">
        <v>81.8</v>
      </c>
      <c r="E10" s="1">
        <v>59.3</v>
      </c>
      <c r="F10" s="1">
        <v>36.799999999999997</v>
      </c>
    </row>
    <row r="11" spans="1:25" x14ac:dyDescent="0.2">
      <c r="A11" s="1">
        <v>10</v>
      </c>
      <c r="B11" s="1">
        <v>152.5</v>
      </c>
      <c r="C11" s="1">
        <v>128</v>
      </c>
      <c r="D11" s="1">
        <v>103.5</v>
      </c>
      <c r="E11" s="1">
        <v>79</v>
      </c>
      <c r="F11" s="1">
        <v>54.5</v>
      </c>
    </row>
    <row r="12" spans="1:25" x14ac:dyDescent="0.2">
      <c r="A12" s="1">
        <v>11</v>
      </c>
      <c r="B12" s="1">
        <v>178.2</v>
      </c>
      <c r="C12" s="1">
        <v>151.69999999999999</v>
      </c>
      <c r="D12" s="1">
        <v>125.2</v>
      </c>
      <c r="E12" s="1">
        <v>98.7</v>
      </c>
      <c r="F12" s="1">
        <v>72.2</v>
      </c>
    </row>
    <row r="13" spans="1:25" x14ac:dyDescent="0.2">
      <c r="A13" s="1">
        <v>12</v>
      </c>
      <c r="B13" s="1">
        <v>203.9</v>
      </c>
      <c r="C13" s="1">
        <v>175.4</v>
      </c>
      <c r="D13" s="1">
        <v>146.9</v>
      </c>
      <c r="E13" s="1">
        <v>118.4</v>
      </c>
      <c r="F13" s="1">
        <v>89.9</v>
      </c>
    </row>
    <row r="14" spans="1:25" x14ac:dyDescent="0.2">
      <c r="A14" s="1">
        <v>13</v>
      </c>
      <c r="B14" s="1">
        <v>229.6</v>
      </c>
      <c r="C14" s="1">
        <v>199.1</v>
      </c>
      <c r="D14" s="1">
        <v>168.6</v>
      </c>
      <c r="E14" s="1">
        <v>138.1</v>
      </c>
      <c r="F14" s="1">
        <v>107.6</v>
      </c>
    </row>
    <row r="16" spans="1:25" x14ac:dyDescent="0.2">
      <c r="J16" s="1" t="str">
        <f>CONCATENATE(J17," ",K17)</f>
        <v>Ячейка 10</v>
      </c>
    </row>
    <row r="17" spans="9:13" x14ac:dyDescent="0.2">
      <c r="J17" s="1" t="s">
        <v>0</v>
      </c>
      <c r="K17" s="1">
        <v>10</v>
      </c>
    </row>
    <row r="18" spans="9:13" x14ac:dyDescent="0.2">
      <c r="J18" s="1" t="s">
        <v>1</v>
      </c>
      <c r="K18" s="2">
        <v>44927</v>
      </c>
    </row>
    <row r="19" spans="9:13" x14ac:dyDescent="0.2">
      <c r="J19" s="1" t="s">
        <v>2</v>
      </c>
      <c r="K19" s="2">
        <v>45200</v>
      </c>
    </row>
    <row r="21" spans="9:13" x14ac:dyDescent="0.2">
      <c r="J21" s="1" t="s">
        <v>3</v>
      </c>
      <c r="K21" s="1">
        <f ca="1">OFFSET(Лист1!$B$1,,MATCH(Лист1!$K$18,Лист1!$B$1:$Y$1,0)-1,1,MATCH(Лист1!$K$19,Лист1!$B$1:$Y$1,0)-MATCH(Лист1!$K$18,Лист1!$B$1:$Y$1,0)+1)</f>
        <v>45200</v>
      </c>
      <c r="L21" s="1" t="e">
        <f ca="1">OFFSET(Лист1!$B$1,MATCH(Лист1!$K$17,Лист1!$A$2:$A$14,0),MATCH(Лист1!$K$18,Лист1!$B$1:$Y$1,0)-1,1,MATCH(Лист1!$K$19,Лист1!$B$1:$Y$1,0)-MATCH(Лист1!$K$18,Лист1!$B$1:$Y$1,0)+1)</f>
        <v>#VALUE!</v>
      </c>
    </row>
    <row r="28" spans="9:13" x14ac:dyDescent="0.2">
      <c r="J28" s="7"/>
      <c r="K28" s="7"/>
      <c r="L28" s="7"/>
      <c r="M28" s="7"/>
    </row>
    <row r="29" spans="9:13" x14ac:dyDescent="0.2">
      <c r="I29" s="1" t="s">
        <v>4</v>
      </c>
      <c r="J29" s="1" t="s">
        <v>5</v>
      </c>
      <c r="K29" s="2" t="s">
        <v>18</v>
      </c>
      <c r="L29" s="8" t="s">
        <v>19</v>
      </c>
      <c r="M29" s="2" t="s">
        <v>20</v>
      </c>
    </row>
    <row r="30" spans="9:13" x14ac:dyDescent="0.2">
      <c r="I30" s="1" t="str">
        <f>J16</f>
        <v>Ячейка 10</v>
      </c>
      <c r="J30" s="1" t="s">
        <v>16</v>
      </c>
      <c r="K30" s="2">
        <f>K18</f>
        <v>44927</v>
      </c>
      <c r="L30" s="8" t="s">
        <v>17</v>
      </c>
      <c r="M30" s="2">
        <f>K19</f>
        <v>45200</v>
      </c>
    </row>
  </sheetData>
  <dataValidations count="2">
    <dataValidation type="list" allowBlank="1" showInputMessage="1" showErrorMessage="1" sqref="K17">
      <formula1>$A$2:$A$14</formula1>
    </dataValidation>
    <dataValidation type="list" allowBlank="1" showInputMessage="1" showErrorMessage="1" sqref="K18:K19">
      <formula1>$B$1:$Y$1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hartToPowerPoint_PasteMethods">
                <anchor moveWithCells="1" siz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21"/>
  <sheetViews>
    <sheetView tabSelected="1" zoomScale="90" zoomScaleNormal="90" workbookViewId="0">
      <selection activeCell="K5" sqref="K5"/>
    </sheetView>
  </sheetViews>
  <sheetFormatPr defaultRowHeight="15" x14ac:dyDescent="0.25"/>
  <sheetData>
    <row r="1" spans="1:13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3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3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3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3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>
        <v>10</v>
      </c>
      <c r="L17" s="5"/>
      <c r="M17" s="5"/>
    </row>
    <row r="18" spans="1:13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Export</vt:lpstr>
      <vt:lpstr>Лист1</vt:lpstr>
      <vt:lpstr>Лист2</vt:lpstr>
      <vt:lpstr>Диаграмма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</dc:creator>
  <cp:lastModifiedBy>Александр</cp:lastModifiedBy>
  <dcterms:created xsi:type="dcterms:W3CDTF">2023-04-25T16:37:13Z</dcterms:created>
  <dcterms:modified xsi:type="dcterms:W3CDTF">2023-11-19T17:07:49Z</dcterms:modified>
</cp:coreProperties>
</file>